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GUT" sheetId="1" state="visible" r:id="rId3"/>
    <sheet name="Fon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<sst xmlns="http://schemas.openxmlformats.org/spreadsheetml/2006/main" count="134" uniqueCount="123">
  <si>
    <t xml:space="preserve">StrideZone: Mapeamento de Ameaças e Matriz GUT</t>
  </si>
  <si>
    <t xml:space="preserve">Nota GUT = G x U x T (máximo 125). Os números entre colchetes remetem à aba Fontes.</t>
  </si>
  <si>
    <t xml:space="preserve">#</t>
  </si>
  <si>
    <t xml:space="preserve">Ameaça</t>
  </si>
  <si>
    <t xml:space="preserve">Referência (catálogo/código)</t>
  </si>
  <si>
    <t xml:space="preserve">Como ocorreria na StrideZone</t>
  </si>
  <si>
    <t xml:space="preserve">G</t>
  </si>
  <si>
    <t xml:space="preserve">U</t>
  </si>
  <si>
    <t xml:space="preserve">T</t>
  </si>
  <si>
    <t xml:space="preserve">GUT</t>
  </si>
  <si>
    <t xml:space="preserve">Prioridade</t>
  </si>
  <si>
    <t xml:space="preserve">Fontes</t>
  </si>
  <si>
    <t xml:space="preserve">Faixas de prioridade (suposição do grupo, ajustem se o professor pediu outra)</t>
  </si>
  <si>
    <t xml:space="preserve">SQL Injection no campo de busca de produtos</t>
  </si>
  <si>
    <t xml:space="preserve">OWASP Top 10:2025 A05 (Injection); CWE-89</t>
  </si>
  <si>
    <t xml:space="preserve">O site monta a consulta SQL com o que o cliente digita na busca. Se o termo não for tratado, o invasor escreve um comando no lugar do nome do tênis e consegue listar a tabela de clientes (nome, CPF, endereço) ou apagar registros de pedidos.</t>
  </si>
  <si>
    <t xml:space="preserve">[1][4]</t>
  </si>
  <si>
    <t xml:space="preserve">Nota mínima</t>
  </si>
  <si>
    <t xml:space="preserve">IDOR em pedidos e endereços</t>
  </si>
  <si>
    <t xml:space="preserve">OWASP Top 10:2025 A01 (Broken Access Control); API1:2023 (BOLA); CWE-639</t>
  </si>
  <si>
    <t xml:space="preserve">O cliente abre o pedido por uma URL ou chamada de API que leva o número do pedido. Se o sistema não confere de quem é aquele pedido, basta trocar o número para ver endereço, CPF e compras de outra pessoa.</t>
  </si>
  <si>
    <t xml:space="preserve">[1][2][4]</t>
  </si>
  <si>
    <t xml:space="preserve">Crítica</t>
  </si>
  <si>
    <t xml:space="preserve">Phishing contra a equipe interna</t>
  </si>
  <si>
    <t xml:space="preserve">MITRE ATT&amp;CK T1566 (Phishing)</t>
  </si>
  <si>
    <t xml:space="preserve">Com 12 funcionários, basta um e-mail falso em nome de fornecedor, transportadora ou gateway para alguém do estoque ou atendimento entregar a senha. Dali o invasor entra no backoffice.</t>
  </si>
  <si>
    <t xml:space="preserve">[7]</t>
  </si>
  <si>
    <t xml:space="preserve">Alta</t>
  </si>
  <si>
    <t xml:space="preserve">Força bruta e credential stuffing no login</t>
  </si>
  <si>
    <t xml:space="preserve">OWASP Top 10:2025 A07 (Authentication Failures); OAT-007 e OAT-008; CWE-307</t>
  </si>
  <si>
    <t xml:space="preserve">Robôs testam milhares de e-mails e senhas vazados de outros sites no login do site e do app. Sem limite de tentativas ou CAPTCHA, contas de clientes são invadidas e usadas para ver dados pessoais ou comprar com cartão salvo.</t>
  </si>
  <si>
    <t xml:space="preserve">[1][3][4]</t>
  </si>
  <si>
    <t xml:space="preserve">Média</t>
  </si>
  <si>
    <t xml:space="preserve">Manipulação de preço e carrinho no checkout</t>
  </si>
  <si>
    <t xml:space="preserve">OWASP Top 10:2025 A06 (Insecure Design); CWE-602</t>
  </si>
  <si>
    <t xml:space="preserve">Se o valor do pedido ou do frete é calculado no navegador ou no app e o servidor só confia, o invasor altera a requisição e paga R$ 1 por um StrideRun Pro de R$ 699, ou aplica o mesmo cupom várias vezes.</t>
  </si>
  <si>
    <t xml:space="preserve">Baixa</t>
  </si>
  <si>
    <t xml:space="preserve">Ransomware no backoffice e nos CDs</t>
  </si>
  <si>
    <t xml:space="preserve">MITRE ATT&amp;CK T1486; CISA #StopRansomware</t>
  </si>
  <si>
    <t xml:space="preserve">Um computador infectado criptografa as planilhas de estoque, a base de pedidos e os arquivos dos CDs. Sem sistema, não dá para separar nem expedir pedidos, e a empresa fica pressionada a pagar resgate.</t>
  </si>
  <si>
    <t xml:space="preserve">[7][11]</t>
  </si>
  <si>
    <t xml:space="preserve">Componente desatualizado com CVE conhecido</t>
  </si>
  <si>
    <t xml:space="preserve">OWASP Top 10:2025 A03 (Software Supply Chain Failures); exemplo: CVE-2021-44228 (Log4Shell)</t>
  </si>
  <si>
    <t xml:space="preserve">O backoffice e a API usam bibliotecas de terceiros. Uma biblioteca sem atualização e com falha pública, como o Log4j (Log4Shell, CVE-2021-44228, CVSS 10.0), permite execução remota de código no servidor com uma única requisição que gere log.</t>
  </si>
  <si>
    <t xml:space="preserve">[1][5]</t>
  </si>
  <si>
    <t xml:space="preserve">Azul = valores que o grupo pode editar (G, U, T e faixas).</t>
  </si>
  <si>
    <t xml:space="preserve">Má configuração de servidor ou nuvem</t>
  </si>
  <si>
    <t xml:space="preserve">OWASP Top 10:2025 A02 (Security Misconfiguration); CWE-16</t>
  </si>
  <si>
    <t xml:space="preserve">Painel admin exposto na internet, modo debug ligado, pasta de arquivos pública ou senha padrão em algum serviço. Costuma acontecer na correria de subir uma campanha.</t>
  </si>
  <si>
    <t xml:space="preserve">Fraude com cartão clonado (carding) e chargeback</t>
  </si>
  <si>
    <t xml:space="preserve">OWASP Automated Threats OAT-001 (Carding) e OAT-010 (Card Cracking)</t>
  </si>
  <si>
    <t xml:space="preserve">Com cartões clonados, fraudadores compram tênis caros (a faixa vai até R$ 899) para revender. A loja só descobre no chargeback e perde o produto, o frete e o valor da venda.</t>
  </si>
  <si>
    <t xml:space="preserve">[3]</t>
  </si>
  <si>
    <t xml:space="preserve">Escalada de privilégio para o painel admin</t>
  </si>
  <si>
    <t xml:space="preserve">OWASP Top 10:2025 A01; CWE-269</t>
  </si>
  <si>
    <t xml:space="preserve">Um perfil de cliente ou de estoque consegue chamar rotas do painel admin, por exemplo mudando o campo de perfil na requisição. O invasor passa a ter acesso total: preços, usuários e exportação da base de clientes.</t>
  </si>
  <si>
    <t xml:space="preserve">Fraude de boleto adulterado de fornecedor (BEC)</t>
  </si>
  <si>
    <t xml:space="preserve">FBI IC3 (Business Email Compromise); MITRE ATT&amp;CK T1566</t>
  </si>
  <si>
    <t xml:space="preserve">A compra mensal com os 4 fornecedores gira em torno de R$ 180.000. Um golpista se passa por um fornecedor, manda um boleto com conta alterada e o financeiro paga o valor ao criminoso.</t>
  </si>
  <si>
    <t xml:space="preserve">[7][12]</t>
  </si>
  <si>
    <t xml:space="preserve">Skimming de cartão na página de checkout (Magecart)</t>
  </si>
  <si>
    <t xml:space="preserve">OWASP Top 10:2025 A08 (Software or Data Integrity Failures); PCI DSS v4.0 req. 6.4.3 e 11.6.1</t>
  </si>
  <si>
    <t xml:space="preserve">O pagamento passa por gateway terceirizado, mas a página de checkout carrega scripts de terceiros (analytics, chat, pixel de anúncio). Se um deles for alterado, copia os dados do cartão enquanto o cliente digita.</t>
  </si>
  <si>
    <t xml:space="preserve">[1][8]</t>
  </si>
  <si>
    <t xml:space="preserve">Quebra de acesso entre CDs (SP e Recife)</t>
  </si>
  <si>
    <t xml:space="preserve">OWASP Top 10:2025 A01; CWE-863</t>
  </si>
  <si>
    <t xml:space="preserve">A regra diz que o funcionário de estoque só enxerga o CD dele. Se a verificação falhar na API, quem trabalha em Recife consegue ver ou alterar estoque e pedidos de São Paulo, o que piora o controle de estoque que já é o problema da empresa.</t>
  </si>
  <si>
    <t xml:space="preserve">Bots comprando lançamentos e esvaziando o estoque</t>
  </si>
  <si>
    <t xml:space="preserve">OWASP Automated Threats OAT-005 (Scalping) e OAT-021 (Denial of Inventory); API6:2023</t>
  </si>
  <si>
    <t xml:space="preserve">Bots compram ou seguram no carrinho os pares dos modelos em alta, como o StrideRun X1. O estoque some, o cliente real não consegue comprar e a ruptura que a empresa já enfrenta piora.</t>
  </si>
  <si>
    <t xml:space="preserve">[2][3]</t>
  </si>
  <si>
    <t xml:space="preserve">Exposição de dados pessoais por exportação indevida</t>
  </si>
  <si>
    <t xml:space="preserve">LGPD arts. 46, 48 e 52; CWE-200</t>
  </si>
  <si>
    <t xml:space="preserve">Um relatório do backoffice com CPF e endereço é exportado em planilha e enviado por e-mail ou WhatsApp. Se vazar, a empresa precisa avisar a ANPD e os titulares e pode ser sancionada.</t>
  </si>
  <si>
    <t xml:space="preserve">[4][9]</t>
  </si>
  <si>
    <t xml:space="preserve">Token JWT roubado ou sem expiração</t>
  </si>
  <si>
    <t xml:space="preserve">OWASP Top 10:2025 A07; CWE-613</t>
  </si>
  <si>
    <t xml:space="preserve">O token de login tem validade longa e não pode ser revogado. Se vazar (celular perdido, XSS, log), quem estiver com ele continua logado como o cliente ou funcionário, mesmo depois da troca de senha.</t>
  </si>
  <si>
    <t xml:space="preserve">Cross-Site Scripting (XSS)</t>
  </si>
  <si>
    <t xml:space="preserve">OWASP Top 10:2025 A05; CWE-79</t>
  </si>
  <si>
    <t xml:space="preserve">Campos que exibem texto digitado pelo usuário (avaliação de produto, nome, endereço) sem tratamento deixam injetar script. Ao abrir a página, o script rouba a sessão de outro cliente ou de um atendente.</t>
  </si>
  <si>
    <t xml:space="preserve">DDoS em campanha de vendas</t>
  </si>
  <si>
    <t xml:space="preserve">OWASP API4:2023 (Unrestricted Resource Consumption); MITRE ATT&amp;CK T1498; CWE-400</t>
  </si>
  <si>
    <t xml:space="preserve">O site e o app derrubados na Black Friday ou no lançamento de um modelo. Como a loja só vende por esses dois canais, cada hora fora do ar é venda perdida.</t>
  </si>
  <si>
    <t xml:space="preserve">[2][4][7]</t>
  </si>
  <si>
    <t xml:space="preserve">Falsificação de token JWT (confusão de algoritmo)</t>
  </si>
  <si>
    <t xml:space="preserve">OWASP Top 10:2025 A04 (Cryptographic Failures); CWE-327; CVE-2015-9235</t>
  </si>
  <si>
    <t xml:space="preserve">O login usa token JWT. Versões antigas do jsonwebtoken (anteriores à 4.2.2, CVE-2015-9235) aceitavam o algoritmo indicado no próprio token, o que permite forjar um token de admin sem conhecer a chave.</t>
  </si>
  <si>
    <t xml:space="preserve">[1][4][6]</t>
  </si>
  <si>
    <t xml:space="preserve">Falta de logs e monitoramento</t>
  </si>
  <si>
    <t xml:space="preserve">OWASP Top 10:2025 A09 (Security Logging &amp; Alerting Failures); CWE-778</t>
  </si>
  <si>
    <t xml:space="preserve">Sem registro de logins, alterações de pedido e acessos ao admin, um ataque pode durar semanas sem ninguém notar, e depois não há como provar o que foi levado, o que atrapalha até o aviso exigido pela LGPD.</t>
  </si>
  <si>
    <t xml:space="preserve">Tráfego sem criptografia entre app, site e API</t>
  </si>
  <si>
    <t xml:space="preserve">OWASP Top 10:2025 A04; CWE-319</t>
  </si>
  <si>
    <t xml:space="preserve">Em Wi-Fi público, se o app ou alguma rota usar HTTP ou TLS desatualizado, o invasor intercepta login, CPF e endereço de entrega.</t>
  </si>
  <si>
    <t xml:space="preserve">Backup inexistente ou nunca testado</t>
  </si>
  <si>
    <t xml:space="preserve">ISO/IEC 27001:2022 Anexo A 8.13 (Cópias de segurança)</t>
  </si>
  <si>
    <t xml:space="preserve">Se um erro, falha de disco ou ataque apagar o banco de pedidos e o backup estiver velho ou não restaurar, a empresa perde o histórico de vendas que as outras disciplinas do projeto usam.</t>
  </si>
  <si>
    <t xml:space="preserve">[10]</t>
  </si>
  <si>
    <t xml:space="preserve">Referências</t>
  </si>
  <si>
    <t xml:space="preserve">[1]</t>
  </si>
  <si>
    <t xml:space="preserve">OWASP FOUNDATION. OWASP Top 10:2025. 2025. Disponível em: https://owasp.org/Top10/2025/. Acesso em: 26 out. 2026.</t>
  </si>
  <si>
    <t xml:space="preserve">[2]</t>
  </si>
  <si>
    <t xml:space="preserve">OWASP FOUNDATION. OWASP API Security Top 10, edição 2023. Disponível em: https://owasp.org/API-Security/. Acesso em: 26 out. 2026.</t>
  </si>
  <si>
    <t xml:space="preserve">OWASP FOUNDATION. OWASP Automated Threats to Web Applications (OAT). Disponível em: https://owasp.org/www-project-automated-threats-to-web-applications/. Acesso em: 26 out. 2026.</t>
  </si>
  <si>
    <t xml:space="preserve">[4]</t>
  </si>
  <si>
    <t xml:space="preserve">MITRE. CWE: Common Weakness Enumeration. Disponível em: https://cwe.mitre.org/. Acesso em: 26 out. 2026.</t>
  </si>
  <si>
    <t xml:space="preserve">[5]</t>
  </si>
  <si>
    <t xml:space="preserve">NIST. National Vulnerability Database: CVE-2021-44228 (Apache Log4j2). Disponível em: https://nvd.nist.gov/vuln/detail/CVE-2021-44228. Acesso em: 26 out. 2026.</t>
  </si>
  <si>
    <t xml:space="preserve">[6]</t>
  </si>
  <si>
    <t xml:space="preserve">GITHUB. Advisory Database: GHSA-c7hr-j4mj-j2w6, Verification Bypass in jsonwebtoken (CVE-2015-9235). Disponível em: https://github.com/advisories/GHSA-c7hr-j4mj-j2w6. Acesso em: 26 out. 2026.</t>
  </si>
  <si>
    <t xml:space="preserve">MITRE. ATT&amp;CK: T1566 (Phishing), T1486 (Data Encrypted for Impact), T1498 (Network Denial of Service). Disponível em: https://attack.mitre.org/. Acesso em: 26 out. 2026.</t>
  </si>
  <si>
    <t xml:space="preserve">[8]</t>
  </si>
  <si>
    <t xml:space="preserve">PCI SECURITY STANDARDS COUNCIL. Payment Card Industry Data Security Standard (PCI DSS) v4.0. Disponível em: https://www.pcisecuritystandards.org/. Acesso em: 26 out. 2026.</t>
  </si>
  <si>
    <t xml:space="preserve">[9]</t>
  </si>
  <si>
    <t xml:space="preserve">BRASIL. Lei nº 13.709, de 14 de agosto de 2018 (Lei Geral de Proteção de Dados Pessoais). Disponível em: https://www.planalto.gov.br/ccivil_03/_ato2015-2018/2018/lei/l13709.htm. Acesso em: 26 out. 2026.</t>
  </si>
  <si>
    <t xml:space="preserve">ASSOCIAÇÃO BRASILEIRA DE NORMAS TÉCNICAS. ABNT NBR ISO/IEC 27001:2022: Segurança da informação, segurança cibernética e proteção à privacidade. Rio de Janeiro: ABNT, 2022.</t>
  </si>
  <si>
    <t xml:space="preserve">[11]</t>
  </si>
  <si>
    <t xml:space="preserve">CISA. #StopRansomware Guide. Disponível em: https://www.cisa.gov/stopransomware. Acesso em: 26 out. 2026.</t>
  </si>
  <si>
    <t xml:space="preserve">[12]</t>
  </si>
  <si>
    <t xml:space="preserve">FBI. Internet Crime Complaint Center (IC3): Internet Crime Report, seção Business Email Compromise. Disponível em: https://www.ic3.gov/. Acesso em: 26 out. 2026.</t>
  </si>
  <si>
    <t xml:space="preserve">[13]</t>
  </si>
  <si>
    <t xml:space="preserve">KEPNER, C. H.; TREGOE, B. B. O administrador racional. São Paulo: Atlas, 1981. (Base da Matriz GUT; conferir os dados da edição no exemplar da biblioteca.)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</si>
</sst>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2D6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B2D6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70"/>
    <col collapsed="false" customWidth="true" hidden="false" outlineLevel="0" max="7" min="5" style="0" width="5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L4" s="4" t="s">
        <v>12</v>
      </c>
    </row>
    <row r="5" customFormat="false" ht="35.05" hidden="false" customHeight="false" outlineLevel="0" collapsed="false">
      <c r="A5" s="5" t="n">
        <v>1</v>
      </c>
      <c r="B5" s="6" t="s">
        <v>13</v>
      </c>
      <c r="C5" s="7" t="s">
        <v>14</v>
      </c>
      <c r="D5" s="7" t="s">
        <v>15</v>
      </c>
      <c r="E5" s="8" t="n">
        <v>5</v>
      </c>
      <c r="F5" s="8" t="n">
        <v>5</v>
      </c>
      <c r="G5" s="8" t="n">
        <v>4</v>
      </c>
      <c r="H5" s="5" t="n">
        <f aca="false">E5*F5*G5</f>
        <v>100</v>
      </c>
      <c r="I5" s="5" t="str">
        <f aca="false">IF(H5&gt;=$M$6,"Crítica",IF(H5&gt;=$M$7,"Alta",IF(H5&gt;=$M$8,"Média","Baixa")))</f>
        <v>Crítica</v>
      </c>
      <c r="J5" s="5" t="s">
        <v>16</v>
      </c>
      <c r="L5" s="4" t="s">
        <v>17</v>
      </c>
    </row>
    <row r="6" customFormat="false" ht="35.05" hidden="false" customHeight="false" outlineLevel="0" collapsed="false">
      <c r="A6" s="5" t="n">
        <v>2</v>
      </c>
      <c r="B6" s="6" t="s">
        <v>18</v>
      </c>
      <c r="C6" s="7" t="s">
        <v>19</v>
      </c>
      <c r="D6" s="7" t="s">
        <v>20</v>
      </c>
      <c r="E6" s="8" t="n">
        <v>4</v>
      </c>
      <c r="F6" s="8" t="n">
        <v>5</v>
      </c>
      <c r="G6" s="8" t="n">
        <v>4</v>
      </c>
      <c r="H6" s="5" t="n">
        <f aca="false">E6*F6*G6</f>
        <v>80</v>
      </c>
      <c r="I6" s="5" t="str">
        <f aca="false">IF(H6&gt;=$M$6,"Crítica",IF(H6&gt;=$M$7,"Alta",IF(H6&gt;=$M$8,"Média","Baixa")))</f>
        <v>Crítica</v>
      </c>
      <c r="J6" s="5" t="s">
        <v>21</v>
      </c>
      <c r="L6" s="9" t="s">
        <v>22</v>
      </c>
      <c r="M6" s="10" t="n">
        <v>80</v>
      </c>
    </row>
    <row r="7" customFormat="false" ht="35.05" hidden="false" customHeight="false" outlineLevel="0" collapsed="false">
      <c r="A7" s="5" t="n">
        <v>3</v>
      </c>
      <c r="B7" s="6" t="s">
        <v>23</v>
      </c>
      <c r="C7" s="7" t="s">
        <v>24</v>
      </c>
      <c r="D7" s="7" t="s">
        <v>25</v>
      </c>
      <c r="E7" s="8" t="n">
        <v>4</v>
      </c>
      <c r="F7" s="8" t="n">
        <v>5</v>
      </c>
      <c r="G7" s="8" t="n">
        <v>4</v>
      </c>
      <c r="H7" s="5" t="n">
        <f aca="false">E7*F7*G7</f>
        <v>80</v>
      </c>
      <c r="I7" s="5" t="str">
        <f aca="false">IF(H7&gt;=$M$6,"Crítica",IF(H7&gt;=$M$7,"Alta",IF(H7&gt;=$M$8,"Média","Baixa")))</f>
        <v>Crítica</v>
      </c>
      <c r="J7" s="5" t="s">
        <v>26</v>
      </c>
      <c r="L7" s="9" t="s">
        <v>27</v>
      </c>
      <c r="M7" s="10" t="n">
        <v>45</v>
      </c>
    </row>
    <row r="8" customFormat="false" ht="35.05" hidden="false" customHeight="false" outlineLevel="0" collapsed="false">
      <c r="A8" s="5" t="n">
        <v>4</v>
      </c>
      <c r="B8" s="6" t="s">
        <v>28</v>
      </c>
      <c r="C8" s="7" t="s">
        <v>29</v>
      </c>
      <c r="D8" s="7" t="s">
        <v>30</v>
      </c>
      <c r="E8" s="8" t="n">
        <v>4</v>
      </c>
      <c r="F8" s="8" t="n">
        <v>4</v>
      </c>
      <c r="G8" s="8" t="n">
        <v>4</v>
      </c>
      <c r="H8" s="5" t="n">
        <f aca="false">E8*F8*G8</f>
        <v>64</v>
      </c>
      <c r="I8" s="5" t="str">
        <f aca="false">IF(H8&gt;=$M$6,"Crítica",IF(H8&gt;=$M$7,"Alta",IF(H8&gt;=$M$8,"Média","Baixa")))</f>
        <v>Alta</v>
      </c>
      <c r="J8" s="5" t="s">
        <v>31</v>
      </c>
      <c r="L8" s="9" t="s">
        <v>32</v>
      </c>
      <c r="M8" s="10" t="n">
        <v>27</v>
      </c>
    </row>
    <row r="9" customFormat="false" ht="35.05" hidden="false" customHeight="false" outlineLevel="0" collapsed="false">
      <c r="A9" s="5" t="n">
        <v>5</v>
      </c>
      <c r="B9" s="6" t="s">
        <v>33</v>
      </c>
      <c r="C9" s="7" t="s">
        <v>34</v>
      </c>
      <c r="D9" s="7" t="s">
        <v>35</v>
      </c>
      <c r="E9" s="8" t="n">
        <v>5</v>
      </c>
      <c r="F9" s="8" t="n">
        <v>4</v>
      </c>
      <c r="G9" s="8" t="n">
        <v>3</v>
      </c>
      <c r="H9" s="5" t="n">
        <f aca="false">E9*F9*G9</f>
        <v>60</v>
      </c>
      <c r="I9" s="5" t="str">
        <f aca="false">IF(H9&gt;=$M$6,"Crítica",IF(H9&gt;=$M$7,"Alta",IF(H9&gt;=$M$8,"Média","Baixa")))</f>
        <v>Alta</v>
      </c>
      <c r="J9" s="5" t="s">
        <v>16</v>
      </c>
      <c r="L9" s="9" t="s">
        <v>36</v>
      </c>
      <c r="M9" s="10" t="n">
        <v>0</v>
      </c>
    </row>
    <row r="10" customFormat="false" ht="35.05" hidden="false" customHeight="false" outlineLevel="0" collapsed="false">
      <c r="A10" s="5" t="n">
        <v>6</v>
      </c>
      <c r="B10" s="6" t="s">
        <v>37</v>
      </c>
      <c r="C10" s="7" t="s">
        <v>38</v>
      </c>
      <c r="D10" s="7" t="s">
        <v>39</v>
      </c>
      <c r="E10" s="8" t="n">
        <v>5</v>
      </c>
      <c r="F10" s="8" t="n">
        <v>4</v>
      </c>
      <c r="G10" s="8" t="n">
        <v>3</v>
      </c>
      <c r="H10" s="5" t="n">
        <f aca="false">E10*F10*G10</f>
        <v>60</v>
      </c>
      <c r="I10" s="5" t="str">
        <f aca="false">IF(H10&gt;=$M$6,"Crítica",IF(H10&gt;=$M$7,"Alta",IF(H10&gt;=$M$8,"Média","Baixa")))</f>
        <v>Alta</v>
      </c>
      <c r="J10" s="5" t="s">
        <v>40</v>
      </c>
    </row>
    <row r="11" customFormat="false" ht="35.05" hidden="false" customHeight="false" outlineLevel="0" collapsed="false">
      <c r="A11" s="5" t="n">
        <v>7</v>
      </c>
      <c r="B11" s="6" t="s">
        <v>41</v>
      </c>
      <c r="C11" s="7" t="s">
        <v>42</v>
      </c>
      <c r="D11" s="7" t="s">
        <v>43</v>
      </c>
      <c r="E11" s="8" t="n">
        <v>5</v>
      </c>
      <c r="F11" s="8" t="n">
        <v>4</v>
      </c>
      <c r="G11" s="8" t="n">
        <v>3</v>
      </c>
      <c r="H11" s="5" t="n">
        <f aca="false">E11*F11*G11</f>
        <v>60</v>
      </c>
      <c r="I11" s="5" t="str">
        <f aca="false">IF(H11&gt;=$M$6,"Crítica",IF(H11&gt;=$M$7,"Alta",IF(H11&gt;=$M$8,"Média","Baixa")))</f>
        <v>Alta</v>
      </c>
      <c r="J11" s="5" t="s">
        <v>44</v>
      </c>
      <c r="L11" s="2" t="s">
        <v>45</v>
      </c>
    </row>
    <row r="12" customFormat="false" ht="35.05" hidden="false" customHeight="false" outlineLevel="0" collapsed="false">
      <c r="A12" s="5" t="n">
        <v>8</v>
      </c>
      <c r="B12" s="6" t="s">
        <v>46</v>
      </c>
      <c r="C12" s="7" t="s">
        <v>47</v>
      </c>
      <c r="D12" s="7" t="s">
        <v>48</v>
      </c>
      <c r="E12" s="8" t="n">
        <v>4</v>
      </c>
      <c r="F12" s="8" t="n">
        <v>4</v>
      </c>
      <c r="G12" s="8" t="n">
        <v>3</v>
      </c>
      <c r="H12" s="5" t="n">
        <f aca="false">E12*F12*G12</f>
        <v>48</v>
      </c>
      <c r="I12" s="5" t="str">
        <f aca="false">IF(H12&gt;=$M$6,"Crítica",IF(H12&gt;=$M$7,"Alta",IF(H12&gt;=$M$8,"Média","Baixa")))</f>
        <v>Alta</v>
      </c>
      <c r="J12" s="5" t="s">
        <v>16</v>
      </c>
    </row>
    <row r="13" customFormat="false" ht="35.05" hidden="false" customHeight="false" outlineLevel="0" collapsed="false">
      <c r="A13" s="5" t="n">
        <v>9</v>
      </c>
      <c r="B13" s="6" t="s">
        <v>49</v>
      </c>
      <c r="C13" s="7" t="s">
        <v>50</v>
      </c>
      <c r="D13" s="7" t="s">
        <v>51</v>
      </c>
      <c r="E13" s="8" t="n">
        <v>4</v>
      </c>
      <c r="F13" s="8" t="n">
        <v>4</v>
      </c>
      <c r="G13" s="8" t="n">
        <v>3</v>
      </c>
      <c r="H13" s="5" t="n">
        <f aca="false">E13*F13*G13</f>
        <v>48</v>
      </c>
      <c r="I13" s="5" t="str">
        <f aca="false">IF(H13&gt;=$M$6,"Crítica",IF(H13&gt;=$M$7,"Alta",IF(H13&gt;=$M$8,"Média","Baixa")))</f>
        <v>Alta</v>
      </c>
      <c r="J13" s="5" t="s">
        <v>52</v>
      </c>
    </row>
    <row r="14" customFormat="false" ht="35.05" hidden="false" customHeight="false" outlineLevel="0" collapsed="false">
      <c r="A14" s="5" t="n">
        <v>10</v>
      </c>
      <c r="B14" s="6" t="s">
        <v>53</v>
      </c>
      <c r="C14" s="7" t="s">
        <v>54</v>
      </c>
      <c r="D14" s="7" t="s">
        <v>55</v>
      </c>
      <c r="E14" s="8" t="n">
        <v>5</v>
      </c>
      <c r="F14" s="8" t="n">
        <v>3</v>
      </c>
      <c r="G14" s="8" t="n">
        <v>3</v>
      </c>
      <c r="H14" s="5" t="n">
        <f aca="false">E14*F14*G14</f>
        <v>45</v>
      </c>
      <c r="I14" s="5" t="str">
        <f aca="false">IF(H14&gt;=$M$6,"Crítica",IF(H14&gt;=$M$7,"Alta",IF(H14&gt;=$M$8,"Média","Baixa")))</f>
        <v>Alta</v>
      </c>
      <c r="J14" s="5" t="s">
        <v>16</v>
      </c>
    </row>
    <row r="15" customFormat="false" ht="35.05" hidden="false" customHeight="false" outlineLevel="0" collapsed="false">
      <c r="A15" s="5" t="n">
        <v>11</v>
      </c>
      <c r="B15" s="6" t="s">
        <v>56</v>
      </c>
      <c r="C15" s="7" t="s">
        <v>57</v>
      </c>
      <c r="D15" s="7" t="s">
        <v>58</v>
      </c>
      <c r="E15" s="8" t="n">
        <v>5</v>
      </c>
      <c r="F15" s="8" t="n">
        <v>3</v>
      </c>
      <c r="G15" s="8" t="n">
        <v>3</v>
      </c>
      <c r="H15" s="5" t="n">
        <f aca="false">E15*F15*G15</f>
        <v>45</v>
      </c>
      <c r="I15" s="5" t="str">
        <f aca="false">IF(H15&gt;=$M$6,"Crítica",IF(H15&gt;=$M$7,"Alta",IF(H15&gt;=$M$8,"Média","Baixa")))</f>
        <v>Alta</v>
      </c>
      <c r="J15" s="5" t="s">
        <v>59</v>
      </c>
    </row>
    <row r="16" customFormat="false" ht="35.05" hidden="false" customHeight="false" outlineLevel="0" collapsed="false">
      <c r="A16" s="5" t="n">
        <v>12</v>
      </c>
      <c r="B16" s="6" t="s">
        <v>60</v>
      </c>
      <c r="C16" s="7" t="s">
        <v>61</v>
      </c>
      <c r="D16" s="7" t="s">
        <v>62</v>
      </c>
      <c r="E16" s="8" t="n">
        <v>5</v>
      </c>
      <c r="F16" s="8" t="n">
        <v>3</v>
      </c>
      <c r="G16" s="8" t="n">
        <v>3</v>
      </c>
      <c r="H16" s="5" t="n">
        <f aca="false">E16*F16*G16</f>
        <v>45</v>
      </c>
      <c r="I16" s="5" t="str">
        <f aca="false">IF(H16&gt;=$M$6,"Crítica",IF(H16&gt;=$M$7,"Alta",IF(H16&gt;=$M$8,"Média","Baixa")))</f>
        <v>Alta</v>
      </c>
      <c r="J16" s="5" t="s">
        <v>63</v>
      </c>
    </row>
    <row r="17" customFormat="false" ht="35.05" hidden="false" customHeight="false" outlineLevel="0" collapsed="false">
      <c r="A17" s="5" t="n">
        <v>13</v>
      </c>
      <c r="B17" s="6" t="s">
        <v>64</v>
      </c>
      <c r="C17" s="7" t="s">
        <v>65</v>
      </c>
      <c r="D17" s="7" t="s">
        <v>66</v>
      </c>
      <c r="E17" s="8" t="n">
        <v>3</v>
      </c>
      <c r="F17" s="8" t="n">
        <v>4</v>
      </c>
      <c r="G17" s="8" t="n">
        <v>3</v>
      </c>
      <c r="H17" s="5" t="n">
        <f aca="false">E17*F17*G17</f>
        <v>36</v>
      </c>
      <c r="I17" s="5" t="str">
        <f aca="false">IF(H17&gt;=$M$6,"Crítica",IF(H17&gt;=$M$7,"Alta",IF(H17&gt;=$M$8,"Média","Baixa")))</f>
        <v>Média</v>
      </c>
      <c r="J17" s="5" t="s">
        <v>16</v>
      </c>
    </row>
    <row r="18" customFormat="false" ht="35.05" hidden="false" customHeight="false" outlineLevel="0" collapsed="false">
      <c r="A18" s="5" t="n">
        <v>14</v>
      </c>
      <c r="B18" s="6" t="s">
        <v>67</v>
      </c>
      <c r="C18" s="7" t="s">
        <v>68</v>
      </c>
      <c r="D18" s="7" t="s">
        <v>69</v>
      </c>
      <c r="E18" s="8" t="n">
        <v>3</v>
      </c>
      <c r="F18" s="8" t="n">
        <v>4</v>
      </c>
      <c r="G18" s="8" t="n">
        <v>3</v>
      </c>
      <c r="H18" s="5" t="n">
        <f aca="false">E18*F18*G18</f>
        <v>36</v>
      </c>
      <c r="I18" s="5" t="str">
        <f aca="false">IF(H18&gt;=$M$6,"Crítica",IF(H18&gt;=$M$7,"Alta",IF(H18&gt;=$M$8,"Média","Baixa")))</f>
        <v>Média</v>
      </c>
      <c r="J18" s="5" t="s">
        <v>70</v>
      </c>
    </row>
    <row r="19" customFormat="false" ht="35.05" hidden="false" customHeight="false" outlineLevel="0" collapsed="false">
      <c r="A19" s="5" t="n">
        <v>15</v>
      </c>
      <c r="B19" s="6" t="s">
        <v>71</v>
      </c>
      <c r="C19" s="7" t="s">
        <v>72</v>
      </c>
      <c r="D19" s="7" t="s">
        <v>73</v>
      </c>
      <c r="E19" s="8" t="n">
        <v>4</v>
      </c>
      <c r="F19" s="8" t="n">
        <v>3</v>
      </c>
      <c r="G19" s="8" t="n">
        <v>3</v>
      </c>
      <c r="H19" s="5" t="n">
        <f aca="false">E19*F19*G19</f>
        <v>36</v>
      </c>
      <c r="I19" s="5" t="str">
        <f aca="false">IF(H19&gt;=$M$6,"Crítica",IF(H19&gt;=$M$7,"Alta",IF(H19&gt;=$M$8,"Média","Baixa")))</f>
        <v>Média</v>
      </c>
      <c r="J19" s="5" t="s">
        <v>74</v>
      </c>
    </row>
    <row r="20" customFormat="false" ht="35.05" hidden="false" customHeight="false" outlineLevel="0" collapsed="false">
      <c r="A20" s="5" t="n">
        <v>16</v>
      </c>
      <c r="B20" s="6" t="s">
        <v>75</v>
      </c>
      <c r="C20" s="7" t="s">
        <v>76</v>
      </c>
      <c r="D20" s="7" t="s">
        <v>77</v>
      </c>
      <c r="E20" s="8" t="n">
        <v>4</v>
      </c>
      <c r="F20" s="8" t="n">
        <v>3</v>
      </c>
      <c r="G20" s="8" t="n">
        <v>3</v>
      </c>
      <c r="H20" s="5" t="n">
        <f aca="false">E20*F20*G20</f>
        <v>36</v>
      </c>
      <c r="I20" s="5" t="str">
        <f aca="false">IF(H20&gt;=$M$6,"Crítica",IF(H20&gt;=$M$7,"Alta",IF(H20&gt;=$M$8,"Média","Baixa")))</f>
        <v>Média</v>
      </c>
      <c r="J20" s="5" t="s">
        <v>16</v>
      </c>
    </row>
    <row r="21" customFormat="false" ht="35.05" hidden="false" customHeight="false" outlineLevel="0" collapsed="false">
      <c r="A21" s="5" t="n">
        <v>17</v>
      </c>
      <c r="B21" s="6" t="s">
        <v>78</v>
      </c>
      <c r="C21" s="7" t="s">
        <v>79</v>
      </c>
      <c r="D21" s="7" t="s">
        <v>80</v>
      </c>
      <c r="E21" s="8" t="n">
        <v>4</v>
      </c>
      <c r="F21" s="8" t="n">
        <v>3</v>
      </c>
      <c r="G21" s="8" t="n">
        <v>3</v>
      </c>
      <c r="H21" s="5" t="n">
        <f aca="false">E21*F21*G21</f>
        <v>36</v>
      </c>
      <c r="I21" s="5" t="str">
        <f aca="false">IF(H21&gt;=$M$6,"Crítica",IF(H21&gt;=$M$7,"Alta",IF(H21&gt;=$M$8,"Média","Baixa")))</f>
        <v>Média</v>
      </c>
      <c r="J21" s="5" t="s">
        <v>16</v>
      </c>
    </row>
    <row r="22" customFormat="false" ht="35.05" hidden="false" customHeight="false" outlineLevel="0" collapsed="false">
      <c r="A22" s="5" t="n">
        <v>18</v>
      </c>
      <c r="B22" s="6" t="s">
        <v>81</v>
      </c>
      <c r="C22" s="7" t="s">
        <v>82</v>
      </c>
      <c r="D22" s="7" t="s">
        <v>83</v>
      </c>
      <c r="E22" s="8" t="n">
        <v>4</v>
      </c>
      <c r="F22" s="8" t="n">
        <v>4</v>
      </c>
      <c r="G22" s="8" t="n">
        <v>2</v>
      </c>
      <c r="H22" s="5" t="n">
        <f aca="false">E22*F22*G22</f>
        <v>32</v>
      </c>
      <c r="I22" s="5" t="str">
        <f aca="false">IF(H22&gt;=$M$6,"Crítica",IF(H22&gt;=$M$7,"Alta",IF(H22&gt;=$M$8,"Média","Baixa")))</f>
        <v>Média</v>
      </c>
      <c r="J22" s="5" t="s">
        <v>84</v>
      </c>
    </row>
    <row r="23" customFormat="false" ht="35.05" hidden="false" customHeight="false" outlineLevel="0" collapsed="false">
      <c r="A23" s="5" t="n">
        <v>19</v>
      </c>
      <c r="B23" s="6" t="s">
        <v>85</v>
      </c>
      <c r="C23" s="7" t="s">
        <v>86</v>
      </c>
      <c r="D23" s="7" t="s">
        <v>87</v>
      </c>
      <c r="E23" s="8" t="n">
        <v>5</v>
      </c>
      <c r="F23" s="8" t="n">
        <v>3</v>
      </c>
      <c r="G23" s="8" t="n">
        <v>2</v>
      </c>
      <c r="H23" s="5" t="n">
        <f aca="false">E23*F23*G23</f>
        <v>30</v>
      </c>
      <c r="I23" s="5" t="str">
        <f aca="false">IF(H23&gt;=$M$6,"Crítica",IF(H23&gt;=$M$7,"Alta",IF(H23&gt;=$M$8,"Média","Baixa")))</f>
        <v>Média</v>
      </c>
      <c r="J23" s="5" t="s">
        <v>88</v>
      </c>
    </row>
    <row r="24" customFormat="false" ht="35.05" hidden="false" customHeight="false" outlineLevel="0" collapsed="false">
      <c r="A24" s="5" t="n">
        <v>20</v>
      </c>
      <c r="B24" s="6" t="s">
        <v>89</v>
      </c>
      <c r="C24" s="7" t="s">
        <v>90</v>
      </c>
      <c r="D24" s="7" t="s">
        <v>91</v>
      </c>
      <c r="E24" s="8" t="n">
        <v>3</v>
      </c>
      <c r="F24" s="8" t="n">
        <v>3</v>
      </c>
      <c r="G24" s="8" t="n">
        <v>3</v>
      </c>
      <c r="H24" s="5" t="n">
        <f aca="false">E24*F24*G24</f>
        <v>27</v>
      </c>
      <c r="I24" s="5" t="str">
        <f aca="false">IF(H24&gt;=$M$6,"Crítica",IF(H24&gt;=$M$7,"Alta",IF(H24&gt;=$M$8,"Média","Baixa")))</f>
        <v>Média</v>
      </c>
      <c r="J24" s="5" t="s">
        <v>16</v>
      </c>
    </row>
    <row r="25" customFormat="false" ht="23.85" hidden="false" customHeight="false" outlineLevel="0" collapsed="false">
      <c r="A25" s="5" t="n">
        <v>21</v>
      </c>
      <c r="B25" s="6" t="s">
        <v>92</v>
      </c>
      <c r="C25" s="7" t="s">
        <v>93</v>
      </c>
      <c r="D25" s="7" t="s">
        <v>94</v>
      </c>
      <c r="E25" s="8" t="n">
        <v>4</v>
      </c>
      <c r="F25" s="8" t="n">
        <v>3</v>
      </c>
      <c r="G25" s="8" t="n">
        <v>2</v>
      </c>
      <c r="H25" s="5" t="n">
        <f aca="false">E25*F25*G25</f>
        <v>24</v>
      </c>
      <c r="I25" s="5" t="str">
        <f aca="false">IF(H25&gt;=$M$6,"Crítica",IF(H25&gt;=$M$7,"Alta",IF(H25&gt;=$M$8,"Média","Baixa")))</f>
        <v>Baixa</v>
      </c>
      <c r="J25" s="5" t="s">
        <v>16</v>
      </c>
    </row>
    <row r="26" customFormat="false" ht="35.05" hidden="false" customHeight="false" outlineLevel="0" collapsed="false">
      <c r="A26" s="5" t="n">
        <v>22</v>
      </c>
      <c r="B26" s="6" t="s">
        <v>95</v>
      </c>
      <c r="C26" s="7" t="s">
        <v>96</v>
      </c>
      <c r="D26" s="7" t="s">
        <v>97</v>
      </c>
      <c r="E26" s="8" t="n">
        <v>4</v>
      </c>
      <c r="F26" s="8" t="n">
        <v>3</v>
      </c>
      <c r="G26" s="8" t="n">
        <v>2</v>
      </c>
      <c r="H26" s="5" t="n">
        <f aca="false">E26*F26*G26</f>
        <v>24</v>
      </c>
      <c r="I26" s="5" t="str">
        <f aca="false">IF(H26&gt;=$M$6,"Crítica",IF(H26&gt;=$M$7,"Alta",IF(H26&gt;=$M$8,"Média","Baixa")))</f>
        <v>Baixa</v>
      </c>
      <c r="J26" s="5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99</v>
      </c>
    </row>
    <row r="3" customFormat="false" ht="15" hidden="false" customHeight="false" outlineLevel="0" collapsed="false">
      <c r="A3" s="11" t="s">
        <v>100</v>
      </c>
      <c r="B3" s="12" t="s">
        <v>101</v>
      </c>
    </row>
    <row r="4" customFormat="false" ht="15" hidden="false" customHeight="false" outlineLevel="0" collapsed="false">
      <c r="A4" s="11" t="s">
        <v>102</v>
      </c>
      <c r="B4" s="12" t="s">
        <v>103</v>
      </c>
    </row>
    <row r="5" customFormat="false" ht="23.85" hidden="false" customHeight="false" outlineLevel="0" collapsed="false">
      <c r="A5" s="11" t="s">
        <v>52</v>
      </c>
      <c r="B5" s="12" t="s">
        <v>104</v>
      </c>
    </row>
    <row r="6" customFormat="false" ht="15" hidden="false" customHeight="false" outlineLevel="0" collapsed="false">
      <c r="A6" s="11" t="s">
        <v>105</v>
      </c>
      <c r="B6" s="12" t="s">
        <v>106</v>
      </c>
    </row>
    <row r="7" customFormat="false" ht="23.85" hidden="false" customHeight="false" outlineLevel="0" collapsed="false">
      <c r="A7" s="11" t="s">
        <v>107</v>
      </c>
      <c r="B7" s="12" t="s">
        <v>108</v>
      </c>
    </row>
    <row r="8" customFormat="false" ht="23.85" hidden="false" customHeight="false" outlineLevel="0" collapsed="false">
      <c r="A8" s="11" t="s">
        <v>109</v>
      </c>
      <c r="B8" s="12" t="s">
        <v>110</v>
      </c>
    </row>
    <row r="9" customFormat="false" ht="23.85" hidden="false" customHeight="false" outlineLevel="0" collapsed="false">
      <c r="A9" s="11" t="s">
        <v>26</v>
      </c>
      <c r="B9" s="12" t="s">
        <v>111</v>
      </c>
    </row>
    <row r="10" customFormat="false" ht="23.85" hidden="false" customHeight="false" outlineLevel="0" collapsed="false">
      <c r="A10" s="11" t="s">
        <v>112</v>
      </c>
      <c r="B10" s="12" t="s">
        <v>113</v>
      </c>
    </row>
    <row r="11" customFormat="false" ht="23.85" hidden="false" customHeight="false" outlineLevel="0" collapsed="false">
      <c r="A11" s="11" t="s">
        <v>114</v>
      </c>
      <c r="B11" s="12" t="s">
        <v>115</v>
      </c>
    </row>
    <row r="12" customFormat="false" ht="23.85" hidden="false" customHeight="false" outlineLevel="0" collapsed="false">
      <c r="A12" s="11" t="s">
        <v>98</v>
      </c>
      <c r="B12" s="12" t="s">
        <v>116</v>
      </c>
    </row>
    <row r="13" customFormat="false" ht="15" hidden="false" customHeight="false" outlineLevel="0" collapsed="false">
      <c r="A13" s="11" t="s">
        <v>117</v>
      </c>
      <c r="B13" s="12" t="s">
        <v>118</v>
      </c>
    </row>
    <row r="14" customFormat="false" ht="23.85" hidden="false" customHeight="false" outlineLevel="0" collapsed="false">
      <c r="A14" s="11" t="s">
        <v>119</v>
      </c>
      <c r="B14" s="12" t="s">
        <v>120</v>
      </c>
    </row>
    <row r="15" customFormat="false" ht="23.85" hidden="false" customHeight="false" outlineLevel="0" collapsed="false">
      <c r="A15" s="11" t="s">
        <v>121</v>
      </c>
      <c r="B15" s="1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2026-10-26T13:43:22Z</dcterms:created>
  <dc:creator>openpyxl</dc:creator>
  <dc:description/>
  <dc:language>en-US</dc:language>
  <cp:lastModifiedBy/>
  <dcterms:modified xsi:type="dcterms:W3CDTF">2026-10-26T13:43:22Z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